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4E6718C-137A-4C3C-ABD6-0AA24152F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_1" sheetId="1" r:id="rId1"/>
    <sheet name="Worksheet_2" sheetId="2" r:id="rId2"/>
    <sheet name=" Worksheet_3" sheetId="3" r:id="rId3"/>
    <sheet name="SV_lop_DI1296A1_va_DI1296A2" sheetId="4" r:id="rId4"/>
    <sheet name="SV_hoc_mon_CT178" sheetId="5" r:id="rId5"/>
    <sheet name="SV_Lop_CP1296C1_hoc_mon_CT178" sheetId="6" r:id="rId6"/>
    <sheet name="SV_LopCP1296C1_monCT178_Kq_C" sheetId="7" r:id="rId7"/>
  </sheets>
  <definedNames>
    <definedName name="_xlnm._FilterDatabase" localSheetId="0" hidden="1">Worksheet_1!$A$1:$C$15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7" l="1" a="1"/>
  <c r="A2" i="7" s="1"/>
  <c r="A2" i="6" a="1"/>
  <c r="A2" i="6" s="1"/>
  <c r="A2" i="5" a="1"/>
  <c r="A2" i="5" s="1"/>
  <c r="A2" i="4" a="1"/>
  <c r="A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<sst xmlns="http://schemas.openxmlformats.org/spreadsheetml/2006/main" count="108" uniqueCount="53">
  <si>
    <t>MSSV</t>
  </si>
  <si>
    <t>Hoten</t>
  </si>
  <si>
    <t>Lop</t>
  </si>
  <si>
    <t>A1200014</t>
  </si>
  <si>
    <t>A1200028</t>
  </si>
  <si>
    <t>A1200137</t>
  </si>
  <si>
    <t>B1204052</t>
  </si>
  <si>
    <t>B1204121</t>
  </si>
  <si>
    <t>B1208601</t>
  </si>
  <si>
    <t>B1209103</t>
  </si>
  <si>
    <t>B1209107</t>
  </si>
  <si>
    <t>B1209144</t>
  </si>
  <si>
    <t>B1302016</t>
  </si>
  <si>
    <t>B1304488</t>
  </si>
  <si>
    <t>B1304494</t>
  </si>
  <si>
    <t>DI11Y9A2</t>
  </si>
  <si>
    <t>DI11Y9A1</t>
  </si>
  <si>
    <t>CP1296C1</t>
  </si>
  <si>
    <t>DI1296A2</t>
  </si>
  <si>
    <t>DI1295A1</t>
  </si>
  <si>
    <t>DI12Z6A2</t>
  </si>
  <si>
    <t>TC12Z5A1</t>
  </si>
  <si>
    <t>TC12Z5A2</t>
  </si>
  <si>
    <t>XH13W9A1</t>
  </si>
  <si>
    <t>DI13Z6A1</t>
  </si>
  <si>
    <t>Lê Huỳnh                            Như</t>
  </si>
  <si>
    <t>Sơn                                   Sony</t>
  </si>
  <si>
    <t>Võ Đông                            Triều</t>
  </si>
  <si>
    <t>Lê Phong                           Cảnh</t>
  </si>
  <si>
    <t>Trần Tấn                            Quốc</t>
  </si>
  <si>
    <t>Nguyễn Thanh                   Phong</t>
  </si>
  <si>
    <t>Nguyễn Thanh                   Thiện</t>
  </si>
  <si>
    <t>Hồ Thị Huế                         Chi</t>
  </si>
  <si>
    <t>Nguyễn Hoài                      Nam</t>
  </si>
  <si>
    <t>Cao Tuấn                         Nguyên</t>
  </si>
  <si>
    <t>Huỳnh Nhựt                      Thương</t>
  </si>
  <si>
    <t>Nguyễn Phước                   Toàn</t>
  </si>
  <si>
    <t>Hồng Duy                           Hiệu</t>
  </si>
  <si>
    <t>Kim                                    Mel</t>
  </si>
  <si>
    <t>MaMH</t>
  </si>
  <si>
    <t>CT447</t>
  </si>
  <si>
    <t>CT107</t>
  </si>
  <si>
    <t>CT178</t>
  </si>
  <si>
    <t>Diem</t>
  </si>
  <si>
    <t>A</t>
  </si>
  <si>
    <t>C</t>
  </si>
  <si>
    <t>D</t>
  </si>
  <si>
    <t>B</t>
  </si>
  <si>
    <t>TenMH</t>
  </si>
  <si>
    <t>Quan Tri He Thong</t>
  </si>
  <si>
    <t>He Dieu Hanh</t>
  </si>
  <si>
    <t>Nen tang CNTT</t>
  </si>
  <si>
    <t>TinChi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</si>
</sst>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1"/>
      <color rgb="FF1B1C1D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 readingOrder="1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6" sqref="G6"/>
    </sheetView>
  </sheetViews>
  <sheetFormatPr defaultRowHeight="14.4" x14ac:dyDescent="0.3"/>
  <cols>
    <col min="1" max="1" width="14.88671875" customWidth="1"/>
    <col min="2" max="2" width="29.77734375" customWidth="1"/>
    <col min="3" max="3" width="13.33203125" customWidth="1"/>
  </cols>
  <sheetData>
    <row r="1" spans="1:3" x14ac:dyDescent="0.3">
      <c r="A1" s="8" t="s">
        <v>0</v>
      </c>
      <c r="B1" s="8" t="s">
        <v>1</v>
      </c>
      <c r="C1" s="8" t="s">
        <v>2</v>
      </c>
    </row>
    <row r="2" spans="1:3" x14ac:dyDescent="0.3">
      <c r="A2" s="20">
        <v>1111434</v>
      </c>
      <c r="B2" s="13" t="s">
        <v>25</v>
      </c>
      <c r="C2" s="14" t="s">
        <v>15</v>
      </c>
    </row>
    <row r="3" spans="1:3" x14ac:dyDescent="0.3">
      <c r="A3" s="21">
        <v>1111450</v>
      </c>
      <c r="B3" s="13" t="s">
        <v>26</v>
      </c>
      <c r="C3" s="14" t="s">
        <v>16</v>
      </c>
    </row>
    <row r="4" spans="1:3" x14ac:dyDescent="0.3">
      <c r="A4" s="21" t="s">
        <v>3</v>
      </c>
      <c r="B4" s="13" t="s">
        <v>27</v>
      </c>
      <c r="C4" s="14" t="s">
        <v>17</v>
      </c>
    </row>
    <row r="5" spans="1:3" x14ac:dyDescent="0.3">
      <c r="A5" s="21" t="s">
        <v>4</v>
      </c>
      <c r="B5" s="13" t="s">
        <v>28</v>
      </c>
      <c r="C5" s="14" t="s">
        <v>17</v>
      </c>
    </row>
    <row r="6" spans="1:3" x14ac:dyDescent="0.3">
      <c r="A6" s="21" t="s">
        <v>5</v>
      </c>
      <c r="B6" s="13" t="s">
        <v>29</v>
      </c>
      <c r="C6" s="14" t="s">
        <v>17</v>
      </c>
    </row>
    <row r="7" spans="1:3" x14ac:dyDescent="0.3">
      <c r="A7" s="21" t="s">
        <v>6</v>
      </c>
      <c r="B7" s="13" t="s">
        <v>30</v>
      </c>
      <c r="C7" s="14" t="s">
        <v>18</v>
      </c>
    </row>
    <row r="8" spans="1:3" x14ac:dyDescent="0.3">
      <c r="A8" s="21" t="s">
        <v>7</v>
      </c>
      <c r="B8" s="13" t="s">
        <v>31</v>
      </c>
      <c r="C8" s="14" t="s">
        <v>19</v>
      </c>
    </row>
    <row r="9" spans="1:3" x14ac:dyDescent="0.3">
      <c r="A9" s="21" t="s">
        <v>8</v>
      </c>
      <c r="B9" s="13" t="s">
        <v>32</v>
      </c>
      <c r="C9" s="14" t="s">
        <v>20</v>
      </c>
    </row>
    <row r="10" spans="1:3" x14ac:dyDescent="0.3">
      <c r="A10" s="21" t="s">
        <v>9</v>
      </c>
      <c r="B10" s="13" t="s">
        <v>33</v>
      </c>
      <c r="C10" s="14" t="s">
        <v>21</v>
      </c>
    </row>
    <row r="11" spans="1:3" x14ac:dyDescent="0.3">
      <c r="A11" s="21" t="s">
        <v>10</v>
      </c>
      <c r="B11" s="13" t="s">
        <v>34</v>
      </c>
      <c r="C11" s="14" t="s">
        <v>21</v>
      </c>
    </row>
    <row r="12" spans="1:3" x14ac:dyDescent="0.3">
      <c r="A12" s="21" t="s">
        <v>11</v>
      </c>
      <c r="B12" s="13" t="s">
        <v>35</v>
      </c>
      <c r="C12" s="14" t="s">
        <v>22</v>
      </c>
    </row>
    <row r="13" spans="1:3" x14ac:dyDescent="0.3">
      <c r="A13" s="21" t="s">
        <v>12</v>
      </c>
      <c r="B13" s="13" t="s">
        <v>36</v>
      </c>
      <c r="C13" s="14" t="s">
        <v>23</v>
      </c>
    </row>
    <row r="14" spans="1:3" x14ac:dyDescent="0.3">
      <c r="A14" s="21" t="s">
        <v>13</v>
      </c>
      <c r="B14" s="13" t="s">
        <v>37</v>
      </c>
      <c r="C14" s="14" t="s">
        <v>24</v>
      </c>
    </row>
    <row r="15" spans="1:3" x14ac:dyDescent="0.3">
      <c r="A15" s="21" t="s">
        <v>14</v>
      </c>
      <c r="B15" s="13" t="s">
        <v>38</v>
      </c>
      <c r="C15" s="14" t="s">
        <v>24</v>
      </c>
    </row>
    <row r="16" spans="1:3" x14ac:dyDescent="0.3">
      <c r="A1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" sqref="A1:C1"/>
    </sheetView>
  </sheetViews>
  <sheetFormatPr defaultRowHeight="14.4" x14ac:dyDescent="0.3"/>
  <cols>
    <col min="1" max="1" width="12.77734375" customWidth="1"/>
    <col min="2" max="2" width="15.33203125" customWidth="1"/>
    <col min="3" max="3" width="9.77734375" customWidth="1"/>
  </cols>
  <sheetData>
    <row r="1" spans="1:3" x14ac:dyDescent="0.3">
      <c r="A1" s="16" t="s">
        <v>0</v>
      </c>
      <c r="B1" s="16" t="s">
        <v>39</v>
      </c>
      <c r="C1" s="16" t="s">
        <v>43</v>
      </c>
    </row>
    <row r="2" spans="1:3" x14ac:dyDescent="0.3">
      <c r="A2" s="17">
        <v>1111434</v>
      </c>
      <c r="B2" s="15" t="s">
        <v>40</v>
      </c>
      <c r="C2" s="15" t="s">
        <v>44</v>
      </c>
    </row>
    <row r="3" spans="1:3" x14ac:dyDescent="0.3">
      <c r="A3" s="17">
        <v>1111450</v>
      </c>
      <c r="B3" s="15" t="s">
        <v>41</v>
      </c>
      <c r="C3" s="15" t="s">
        <v>44</v>
      </c>
    </row>
    <row r="4" spans="1:3" x14ac:dyDescent="0.3">
      <c r="A4" s="17" t="s">
        <v>3</v>
      </c>
      <c r="B4" s="15" t="s">
        <v>42</v>
      </c>
      <c r="C4" s="15" t="s">
        <v>45</v>
      </c>
    </row>
    <row r="5" spans="1:3" x14ac:dyDescent="0.3">
      <c r="A5" s="17" t="s">
        <v>4</v>
      </c>
      <c r="B5" s="15" t="s">
        <v>40</v>
      </c>
      <c r="C5" s="15" t="s">
        <v>46</v>
      </c>
    </row>
    <row r="6" spans="1:3" x14ac:dyDescent="0.3">
      <c r="A6" s="17" t="s">
        <v>5</v>
      </c>
      <c r="B6" s="15" t="s">
        <v>41</v>
      </c>
      <c r="C6" s="15" t="s">
        <v>47</v>
      </c>
    </row>
    <row r="7" spans="1:3" x14ac:dyDescent="0.3">
      <c r="A7" s="17" t="s">
        <v>6</v>
      </c>
      <c r="B7" s="15" t="s">
        <v>42</v>
      </c>
      <c r="C7" s="15" t="s">
        <v>44</v>
      </c>
    </row>
    <row r="8" spans="1:3" x14ac:dyDescent="0.3">
      <c r="A8" s="17" t="s">
        <v>7</v>
      </c>
      <c r="B8" s="15" t="s">
        <v>40</v>
      </c>
      <c r="C8" s="15" t="s">
        <v>44</v>
      </c>
    </row>
    <row r="9" spans="1:3" x14ac:dyDescent="0.3">
      <c r="A9" s="17" t="s">
        <v>8</v>
      </c>
      <c r="B9" s="15" t="s">
        <v>41</v>
      </c>
      <c r="C9" s="15" t="s">
        <v>45</v>
      </c>
    </row>
    <row r="10" spans="1:3" x14ac:dyDescent="0.3">
      <c r="A10" s="17" t="s">
        <v>9</v>
      </c>
      <c r="B10" s="15" t="s">
        <v>42</v>
      </c>
      <c r="C10" s="15" t="s">
        <v>46</v>
      </c>
    </row>
    <row r="11" spans="1:3" x14ac:dyDescent="0.3">
      <c r="A11" s="17" t="s">
        <v>10</v>
      </c>
      <c r="B11" s="15" t="s">
        <v>40</v>
      </c>
      <c r="C11" s="15" t="s">
        <v>47</v>
      </c>
    </row>
    <row r="12" spans="1:3" x14ac:dyDescent="0.3">
      <c r="A12" s="17" t="s">
        <v>11</v>
      </c>
      <c r="B12" s="15" t="s">
        <v>41</v>
      </c>
      <c r="C12" s="15" t="s">
        <v>44</v>
      </c>
    </row>
    <row r="13" spans="1:3" x14ac:dyDescent="0.3">
      <c r="A13" s="17" t="s">
        <v>12</v>
      </c>
      <c r="B13" s="15" t="s">
        <v>42</v>
      </c>
      <c r="C13" s="15" t="s">
        <v>44</v>
      </c>
    </row>
    <row r="14" spans="1:3" x14ac:dyDescent="0.3">
      <c r="A14" s="17" t="s">
        <v>13</v>
      </c>
      <c r="B14" s="15" t="s">
        <v>40</v>
      </c>
      <c r="C14" s="15" t="s">
        <v>45</v>
      </c>
    </row>
    <row r="15" spans="1:3" x14ac:dyDescent="0.3">
      <c r="A15" s="17" t="s">
        <v>14</v>
      </c>
      <c r="B15" s="15" t="s">
        <v>41</v>
      </c>
      <c r="C15" s="15" t="s">
        <v>46</v>
      </c>
    </row>
    <row r="16" spans="1:3" x14ac:dyDescent="0.3">
      <c r="A16" s="18"/>
      <c r="B16" s="19"/>
      <c r="C16" s="1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1"/>
    </sheetView>
  </sheetViews>
  <sheetFormatPr defaultRowHeight="14.4" x14ac:dyDescent="0.3"/>
  <cols>
    <col min="1" max="1" width="10.21875" customWidth="1"/>
    <col min="2" max="2" width="21" customWidth="1"/>
    <col min="3" max="3" width="10.21875" customWidth="1"/>
  </cols>
  <sheetData>
    <row r="1" spans="1:3" x14ac:dyDescent="0.3">
      <c r="A1" s="16" t="s">
        <v>39</v>
      </c>
      <c r="B1" s="16" t="s">
        <v>48</v>
      </c>
      <c r="C1" s="16" t="s">
        <v>52</v>
      </c>
    </row>
    <row r="2" spans="1:3" x14ac:dyDescent="0.3">
      <c r="A2" s="15" t="s">
        <v>40</v>
      </c>
      <c r="B2" s="15" t="s">
        <v>49</v>
      </c>
      <c r="C2" s="15">
        <v>3</v>
      </c>
    </row>
    <row r="3" spans="1:3" x14ac:dyDescent="0.3">
      <c r="A3" s="15" t="s">
        <v>41</v>
      </c>
      <c r="B3" s="15" t="s">
        <v>50</v>
      </c>
      <c r="C3" s="15">
        <v>3</v>
      </c>
    </row>
    <row r="4" spans="1:3" x14ac:dyDescent="0.3">
      <c r="A4" s="15" t="s">
        <v>42</v>
      </c>
      <c r="B4" s="15" t="s">
        <v>51</v>
      </c>
      <c r="C4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sqref="A1:C1"/>
    </sheetView>
  </sheetViews>
  <sheetFormatPr defaultRowHeight="14.4" x14ac:dyDescent="0.3"/>
  <cols>
    <col min="1" max="1" width="10.5546875" customWidth="1"/>
    <col min="2" max="2" width="29.6640625" customWidth="1"/>
    <col min="3" max="3" width="12.109375" customWidth="1"/>
  </cols>
  <sheetData>
    <row r="1" spans="1:3" x14ac:dyDescent="0.3">
      <c r="A1" s="8" t="s">
        <v>0</v>
      </c>
      <c r="B1" s="8" t="s">
        <v>1</v>
      </c>
      <c r="C1" s="8" t="s">
        <v>2</v>
      </c>
    </row>
    <row r="2" spans="1:3" x14ac:dyDescent="0.3">
      <c r="A2" s="12" t="str" cm="1">
        <f t="array" ref="A2:C2">_xlfn._xlws.FILTER(Worksheet_1!A1:C15,(Worksheet_1!C1:C15="DI1296A1")+(Worksheet_1!C1:C15="DI1296A2"))</f>
        <v>B1204052</v>
      </c>
      <c r="B2" s="13" t="str">
        <v>Nguyễn Thanh                   Phong</v>
      </c>
      <c r="C2" s="14" t="str">
        <v>DI1296A2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A2" sqref="A2"/>
    </sheetView>
  </sheetViews>
  <sheetFormatPr defaultColWidth="9.109375" defaultRowHeight="13.8" x14ac:dyDescent="0.25"/>
  <cols>
    <col min="1" max="1" width="10.21875" style="3" customWidth="1"/>
    <col min="2" max="2" width="29.44140625" style="2" customWidth="1"/>
    <col min="3" max="3" width="12.5546875" style="3" customWidth="1"/>
    <col min="4" max="16384" width="9.109375" style="2"/>
  </cols>
  <sheetData>
    <row r="1" spans="1:3" customFormat="1" ht="14.4" x14ac:dyDescent="0.3">
      <c r="A1" s="8" t="s">
        <v>0</v>
      </c>
      <c r="B1" s="8" t="s">
        <v>1</v>
      </c>
      <c r="C1" s="8" t="s">
        <v>2</v>
      </c>
    </row>
    <row r="2" spans="1:3" x14ac:dyDescent="0.25">
      <c r="A2" s="11" t="str" cm="1">
        <f t="array" ref="A2:C5">_xlfn._xlws.FILTER(Worksheet_1!A1:C15,Worksheet_2!B1:B15="CT178")</f>
        <v>A1200014</v>
      </c>
      <c r="B2" s="5" t="str">
        <v>Võ Đông                            Triều</v>
      </c>
      <c r="C2" s="4" t="str">
        <v>CP1296C1</v>
      </c>
    </row>
    <row r="3" spans="1:3" x14ac:dyDescent="0.25">
      <c r="A3" s="4" t="str">
        <v>B1204052</v>
      </c>
      <c r="B3" s="5" t="str">
        <v>Nguyễn Thanh                   Phong</v>
      </c>
      <c r="C3" s="4" t="str">
        <v>DI1296A2</v>
      </c>
    </row>
    <row r="4" spans="1:3" x14ac:dyDescent="0.25">
      <c r="A4" s="4" t="str">
        <v>B1209103</v>
      </c>
      <c r="B4" s="5" t="str">
        <v>Nguyễn Hoài                      Nam</v>
      </c>
      <c r="C4" s="4" t="str">
        <v>TC12Z5A1</v>
      </c>
    </row>
    <row r="5" spans="1:3" x14ac:dyDescent="0.25">
      <c r="A5" s="4" t="str">
        <v>B1302016</v>
      </c>
      <c r="B5" s="5" t="str">
        <v>Nguyễn Phước                   Toàn</v>
      </c>
      <c r="C5" s="4" t="str">
        <v>XH13W9A1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sqref="A1:C2"/>
    </sheetView>
  </sheetViews>
  <sheetFormatPr defaultRowHeight="14.4" x14ac:dyDescent="0.3"/>
  <cols>
    <col min="1" max="1" width="9.6640625" style="1" customWidth="1"/>
    <col min="2" max="2" width="29.109375" customWidth="1"/>
    <col min="3" max="3" width="10.109375" style="1" customWidth="1"/>
  </cols>
  <sheetData>
    <row r="1" spans="1:3" x14ac:dyDescent="0.3">
      <c r="A1" s="10" t="s">
        <v>0</v>
      </c>
      <c r="B1" s="10" t="s">
        <v>1</v>
      </c>
      <c r="C1" s="10" t="s">
        <v>2</v>
      </c>
    </row>
    <row r="2" spans="1:3" ht="21" customHeight="1" x14ac:dyDescent="0.3">
      <c r="A2" s="4" t="str" cm="1">
        <f t="array" ref="A2:C2">_xlfn._xlws.FILTER(Worksheet_1!A1:C15,(Worksheet_1!C1:C15="CP1296C1")*(Worksheet_2!B1:B15="CT178"))</f>
        <v>A1200014</v>
      </c>
      <c r="B2" s="5" t="str">
        <v>Võ Đông                            Triều</v>
      </c>
      <c r="C2" s="4" t="str">
        <v>CP1296C1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C9" sqref="C9"/>
    </sheetView>
  </sheetViews>
  <sheetFormatPr defaultRowHeight="13.8" x14ac:dyDescent="0.25"/>
  <cols>
    <col min="1" max="1" width="9.88671875" style="6" customWidth="1"/>
    <col min="2" max="2" width="28.33203125" style="7" customWidth="1"/>
    <col min="3" max="3" width="10.109375" style="6" customWidth="1"/>
    <col min="4" max="16384" width="8.88671875" style="7"/>
  </cols>
  <sheetData>
    <row r="1" spans="1:3" x14ac:dyDescent="0.25">
      <c r="A1" s="9" t="s">
        <v>0</v>
      </c>
      <c r="B1" s="9" t="s">
        <v>1</v>
      </c>
      <c r="C1" s="9" t="s">
        <v>2</v>
      </c>
    </row>
    <row r="2" spans="1:3" ht="21.75" customHeight="1" x14ac:dyDescent="0.25">
      <c r="A2" s="4" t="str" cm="1">
        <f t="array" ref="A2:C2">_xlfn._xlws.FILTER(Worksheet_1!A1:C15,(Worksheet_1!C1:C15="CP1296C1")*(Worksheet_2!B1:B15="CT178")*(Worksheet_2!C1:C15="C"))</f>
        <v>A1200014</v>
      </c>
      <c r="B2" s="5" t="str">
        <v>Võ Đông                            Triều</v>
      </c>
      <c r="C2" s="4" t="str">
        <v>CP1296C1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Worksheet_1</vt:lpstr>
      <vt:lpstr>Worksheet_2</vt:lpstr>
      <vt:lpstr> Worksheet_3</vt:lpstr>
      <vt:lpstr>SV_lop_DI1296A1_va_DI1296A2</vt:lpstr>
      <vt:lpstr>SV_hoc_mon_CT178</vt:lpstr>
      <vt:lpstr>SV_Lop_CP1296C1_hoc_mon_CT178</vt:lpstr>
      <vt:lpstr>SV_LopCP1296C1_monCT178_Kq_C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 chan</cp:lastModifiedBy>
  <dcterms:created xsi:type="dcterms:W3CDTF">2025-10-17T06:55:51Z</dcterms:created>
  <dcterms:modified xsi:type="dcterms:W3CDTF">2025-10-24T08:18:41Z</dcterms:modified>
</cp:coreProperties>
</file>